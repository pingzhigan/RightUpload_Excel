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515" windowHeight="11175" firstSheet="1"/>
  </bookViews>
  <sheets>
    <sheet name="2025合同执行情况  " sheetId="10" r:id="rId1"/>
  </sheets>
  <definedNames>
    <definedName name="_xlnm._FilterDatabase" localSheetId="0" hidden="1">'2025合同执行情况  '!$A$1:$L$8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8" authorId="0">
      <text>
        <r>
          <rPr>
            <b/>
            <sz val="9"/>
            <rFont val="宋体"/>
            <charset val="134"/>
          </rPr>
          <t xml:space="preserve">Administrat
</t>
        </r>
        <r>
          <rPr>
            <sz val="9"/>
            <rFont val="宋体"/>
            <charset val="134"/>
          </rPr>
          <t>年度回款率</t>
        </r>
      </text>
    </comment>
  </commentList>
</comments>
</file>

<file path=xl/sharedStrings.xml><?xml version="1.0" encoding="utf-8"?>
<sst xmlns="http://schemas.openxmlformats.org/spreadsheetml/2006/main" count="26" uniqueCount="22">
  <si>
    <t>2025年度项目情况</t>
  </si>
  <si>
    <t>序号</t>
  </si>
  <si>
    <t>项目名称</t>
  </si>
  <si>
    <t>合同日期</t>
  </si>
  <si>
    <t>合同金额</t>
  </si>
  <si>
    <t>已收金额</t>
  </si>
  <si>
    <t>成本</t>
  </si>
  <si>
    <t>已支付金额</t>
  </si>
  <si>
    <t>毛利</t>
  </si>
  <si>
    <t>毛利率</t>
  </si>
  <si>
    <t>本年度回款</t>
  </si>
  <si>
    <t>待收金额</t>
  </si>
  <si>
    <t>回款率</t>
  </si>
  <si>
    <t>状态</t>
  </si>
  <si>
    <t>备注</t>
  </si>
  <si>
    <t>安仕吉智慧园区安防改造项目</t>
  </si>
  <si>
    <t>进行中</t>
  </si>
  <si>
    <t>安仕吉青白江云仓移机项目</t>
  </si>
  <si>
    <t>乐送南充仓新增监控项目</t>
  </si>
  <si>
    <t>乐送宇培仓新增16点位监控项目</t>
  </si>
  <si>
    <t>宜宾烟草2025-2027监控维保项目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</si>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</sst>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&quot;年&quot;m&quot;月&quot;;@"/>
  </numFmts>
  <fonts count="37">
    <font>
      <sz val="11"/>
      <color theme="1"/>
      <name val="Arial"/>
      <charset val="134"/>
      <scheme val="minor"/>
    </font>
    <font>
      <sz val="9"/>
      <color theme="1"/>
      <name val="Arial"/>
      <charset val="134"/>
      <scheme val="minor"/>
    </font>
    <font>
      <sz val="9"/>
      <color rgb="FF002060"/>
      <name val="微软雅黑"/>
      <charset val="134"/>
    </font>
    <font>
      <sz val="9"/>
      <color rgb="FFC00000"/>
      <name val="Arial"/>
      <charset val="134"/>
      <scheme val="minor"/>
    </font>
    <font>
      <b/>
      <sz val="12"/>
      <color rgb="FF002060"/>
      <name val="微软雅黑"/>
      <charset val="134"/>
    </font>
    <font>
      <b/>
      <sz val="9"/>
      <color rgb="FF002060"/>
      <name val="Arial"/>
      <charset val="134"/>
      <scheme val="minor"/>
    </font>
    <font>
      <b/>
      <sz val="9"/>
      <color theme="2" tint="-0.75"/>
      <name val="Arial"/>
      <charset val="134"/>
      <scheme val="minor"/>
    </font>
    <font>
      <b/>
      <sz val="9"/>
      <name val="Arial"/>
      <charset val="134"/>
      <scheme val="minor"/>
    </font>
    <font>
      <b/>
      <sz val="9"/>
      <color rgb="FF00B050"/>
      <name val="Arial"/>
      <charset val="134"/>
      <scheme val="minor"/>
    </font>
    <font>
      <b/>
      <sz val="9"/>
      <color theme="1" tint="0.35"/>
      <name val="Arial"/>
      <charset val="134"/>
      <scheme val="minor"/>
    </font>
    <font>
      <b/>
      <sz val="12"/>
      <name val="Arial"/>
      <charset val="134"/>
      <scheme val="minor"/>
    </font>
    <font>
      <b/>
      <sz val="9"/>
      <color rgb="FFFF0000"/>
      <name val="Arial"/>
      <charset val="134"/>
      <scheme val="minor"/>
    </font>
    <font>
      <b/>
      <sz val="9"/>
      <color rgb="FFC00000"/>
      <name val="Arial"/>
      <charset val="134"/>
      <scheme val="minor"/>
    </font>
    <font>
      <sz val="9"/>
      <color theme="3" tint="0.4"/>
      <name val="Arial"/>
      <charset val="134"/>
      <scheme val="minor"/>
    </font>
    <font>
      <b/>
      <sz val="12"/>
      <color rgb="FFC00000"/>
      <name val="Arial"/>
      <charset val="134"/>
      <scheme val="minor"/>
    </font>
    <font>
      <sz val="9"/>
      <name val="Arial"/>
      <charset val="134"/>
      <scheme val="minor"/>
    </font>
    <font>
      <u/>
      <sz val="11"/>
      <color indexed="4"/>
      <name val="Arial"/>
      <charset val="134"/>
      <scheme val="minor"/>
    </font>
    <font>
      <u/>
      <sz val="11"/>
      <color indexed="20"/>
      <name val="Arial"/>
      <charset val="134"/>
      <scheme val="minor"/>
    </font>
    <font>
      <sz val="11"/>
      <color indexed="2"/>
      <name val="Arial"/>
      <charset val="134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134"/>
      <scheme val="minor"/>
    </font>
    <font>
      <b/>
      <sz val="11"/>
      <color rgb="FF3F3F3F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b/>
      <sz val="11"/>
      <color indexed="65"/>
      <name val="Arial"/>
      <charset val="134"/>
      <scheme val="minor"/>
    </font>
    <font>
      <sz val="11"/>
      <color rgb="FFFA7D00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1"/>
      <color rgb="FF006100"/>
      <name val="Arial"/>
      <charset val="134"/>
      <scheme val="minor"/>
    </font>
    <font>
      <sz val="11"/>
      <color rgb="FF9C0006"/>
      <name val="Arial"/>
      <charset val="134"/>
      <scheme val="minor"/>
    </font>
    <font>
      <sz val="11"/>
      <color rgb="FF9C6500"/>
      <name val="Arial"/>
      <charset val="134"/>
      <scheme val="minor"/>
    </font>
    <font>
      <sz val="11"/>
      <color theme="0"/>
      <name val="Arial"/>
      <charset val="134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6"/>
        <bgColor theme="3" tint="0.6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399975585192419"/>
        <bgColor theme="4" tint="0.399975585192419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399975585192419"/>
        <bgColor theme="5" tint="0.399975585192419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6" tint="0.399975585192419"/>
        <bgColor theme="6" tint="0.39997558519241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0.599993896298105"/>
        <bgColor theme="8" tint="0.599993896298105"/>
      </patternFill>
    </fill>
    <fill>
      <patternFill patternType="solid">
        <fgColor theme="8" tint="0.399975585192419"/>
        <bgColor theme="8" tint="0.399975585192419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399975585192419"/>
        <bgColor theme="9" tint="0.39997558519241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>
      <alignment vertical="center"/>
    </xf>
    <xf numFmtId="44" fontId="0" fillId="0" borderId="0" applyFont="0" applyFill="0" applyBorder="0">
      <alignment vertical="center"/>
    </xf>
    <xf numFmtId="9" fontId="0" fillId="0" borderId="0" applyFont="0" applyFill="0" applyBorder="0">
      <alignment vertical="center"/>
    </xf>
    <xf numFmtId="41" fontId="0" fillId="0" borderId="0" applyFont="0" applyFill="0" applyBorder="0">
      <alignment vertical="center"/>
    </xf>
    <xf numFmtId="42" fontId="0" fillId="0" borderId="0" applyFont="0" applyFill="0" applyBorder="0">
      <alignment vertical="center"/>
    </xf>
    <xf numFmtId="0" fontId="16" fillId="0" borderId="0" applyNumberFormat="0" applyFill="0" applyBorder="0">
      <alignment vertical="center"/>
    </xf>
    <xf numFmtId="0" fontId="17" fillId="0" borderId="0" applyNumberFormat="0" applyFill="0" applyBorder="0">
      <alignment vertical="center"/>
    </xf>
    <xf numFmtId="0" fontId="0" fillId="4" borderId="2" applyNumberFormat="0" applyFont="0">
      <alignment vertical="center"/>
    </xf>
    <xf numFmtId="0" fontId="18" fillId="0" borderId="0" applyNumberFormat="0" applyFill="0" applyBorder="0">
      <alignment vertical="center"/>
    </xf>
    <xf numFmtId="0" fontId="19" fillId="0" borderId="0" applyNumberFormat="0" applyFill="0" applyBorder="0">
      <alignment vertical="center"/>
    </xf>
    <xf numFmtId="0" fontId="20" fillId="0" borderId="0" applyNumberFormat="0" applyFill="0" applyBorder="0">
      <alignment vertical="center"/>
    </xf>
    <xf numFmtId="0" fontId="21" fillId="0" borderId="3" applyNumberFormat="0" applyFill="0">
      <alignment vertical="center"/>
    </xf>
    <xf numFmtId="0" fontId="22" fillId="0" borderId="3" applyNumberFormat="0" applyFill="0">
      <alignment vertical="center"/>
    </xf>
    <xf numFmtId="0" fontId="23" fillId="0" borderId="4" applyNumberFormat="0" applyFill="0">
      <alignment vertical="center"/>
    </xf>
    <xf numFmtId="0" fontId="23" fillId="0" borderId="0" applyNumberFormat="0" applyFill="0" applyBorder="0">
      <alignment vertical="center"/>
    </xf>
    <xf numFmtId="0" fontId="24" fillId="5" borderId="5" applyNumberFormat="0">
      <alignment vertical="center"/>
    </xf>
    <xf numFmtId="0" fontId="25" fillId="6" borderId="6" applyNumberFormat="0">
      <alignment vertical="center"/>
    </xf>
    <xf numFmtId="0" fontId="26" fillId="6" borderId="5" applyNumberFormat="0">
      <alignment vertical="center"/>
    </xf>
    <xf numFmtId="0" fontId="27" fillId="7" borderId="7" applyNumberFormat="0">
      <alignment vertical="center"/>
    </xf>
    <xf numFmtId="0" fontId="28" fillId="0" borderId="8" applyNumberFormat="0" applyFill="0">
      <alignment vertical="center"/>
    </xf>
    <xf numFmtId="0" fontId="29" fillId="0" borderId="9" applyNumberFormat="0" applyFill="0">
      <alignment vertical="center"/>
    </xf>
    <xf numFmtId="0" fontId="30" fillId="8" borderId="0" applyNumberFormat="0" applyBorder="0">
      <alignment vertical="center"/>
    </xf>
    <xf numFmtId="0" fontId="31" fillId="9" borderId="0" applyNumberFormat="0" applyBorder="0">
      <alignment vertical="center"/>
    </xf>
    <xf numFmtId="0" fontId="32" fillId="10" borderId="0" applyNumberFormat="0" applyBorder="0">
      <alignment vertical="center"/>
    </xf>
    <xf numFmtId="0" fontId="33" fillId="11" borderId="0" applyNumberFormat="0" applyBorder="0">
      <alignment vertical="center"/>
    </xf>
    <xf numFmtId="0" fontId="0" fillId="12" borderId="0" applyNumberFormat="0" applyBorder="0">
      <alignment vertical="center"/>
    </xf>
    <xf numFmtId="0" fontId="0" fillId="13" borderId="0" applyNumberFormat="0" applyBorder="0">
      <alignment vertical="center"/>
    </xf>
    <xf numFmtId="0" fontId="33" fillId="14" borderId="0" applyNumberFormat="0" applyBorder="0">
      <alignment vertical="center"/>
    </xf>
    <xf numFmtId="0" fontId="33" fillId="15" borderId="0" applyNumberFormat="0" applyBorder="0">
      <alignment vertical="center"/>
    </xf>
    <xf numFmtId="0" fontId="0" fillId="16" borderId="0" applyNumberFormat="0" applyBorder="0">
      <alignment vertical="center"/>
    </xf>
    <xf numFmtId="0" fontId="0" fillId="17" borderId="0" applyNumberFormat="0" applyBorder="0">
      <alignment vertical="center"/>
    </xf>
    <xf numFmtId="0" fontId="33" fillId="18" borderId="0" applyNumberFormat="0" applyBorder="0">
      <alignment vertical="center"/>
    </xf>
    <xf numFmtId="0" fontId="33" fillId="19" borderId="0" applyNumberFormat="0" applyBorder="0">
      <alignment vertical="center"/>
    </xf>
    <xf numFmtId="0" fontId="0" fillId="20" borderId="0" applyNumberFormat="0" applyBorder="0">
      <alignment vertical="center"/>
    </xf>
    <xf numFmtId="0" fontId="0" fillId="21" borderId="0" applyNumberFormat="0" applyBorder="0">
      <alignment vertical="center"/>
    </xf>
    <xf numFmtId="0" fontId="33" fillId="22" borderId="0" applyNumberFormat="0" applyBorder="0">
      <alignment vertical="center"/>
    </xf>
    <xf numFmtId="0" fontId="33" fillId="23" borderId="0" applyNumberFormat="0" applyBorder="0">
      <alignment vertical="center"/>
    </xf>
    <xf numFmtId="0" fontId="0" fillId="24" borderId="0" applyNumberFormat="0" applyBorder="0">
      <alignment vertical="center"/>
    </xf>
    <xf numFmtId="0" fontId="0" fillId="25" borderId="0" applyNumberFormat="0" applyBorder="0">
      <alignment vertical="center"/>
    </xf>
    <xf numFmtId="0" fontId="33" fillId="26" borderId="0" applyNumberFormat="0" applyBorder="0">
      <alignment vertical="center"/>
    </xf>
    <xf numFmtId="0" fontId="33" fillId="27" borderId="0" applyNumberFormat="0" applyBorder="0">
      <alignment vertical="center"/>
    </xf>
    <xf numFmtId="0" fontId="0" fillId="28" borderId="0" applyNumberFormat="0" applyBorder="0">
      <alignment vertical="center"/>
    </xf>
    <xf numFmtId="0" fontId="0" fillId="29" borderId="0" applyNumberFormat="0" applyBorder="0">
      <alignment vertical="center"/>
    </xf>
    <xf numFmtId="0" fontId="33" fillId="30" borderId="0" applyNumberFormat="0" applyBorder="0">
      <alignment vertical="center"/>
    </xf>
    <xf numFmtId="0" fontId="33" fillId="31" borderId="0" applyNumberFormat="0" applyBorder="0">
      <alignment vertical="center"/>
    </xf>
    <xf numFmtId="0" fontId="0" fillId="32" borderId="0" applyNumberFormat="0" applyBorder="0">
      <alignment vertical="center"/>
    </xf>
    <xf numFmtId="0" fontId="0" fillId="33" borderId="0" applyNumberFormat="0" applyBorder="0">
      <alignment vertical="center"/>
    </xf>
    <xf numFmtId="0" fontId="33" fillId="34" borderId="0" applyNumberFormat="0" applyBorder="0">
      <alignment vertical="center"/>
    </xf>
    <xf numFmtId="0" fontId="34" fillId="0" borderId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176" fontId="4" fillId="2" borderId="0" xfId="0" applyNumberFormat="1" applyFont="1" applyFill="1" applyAlignment="1">
      <alignment vertical="center"/>
    </xf>
    <xf numFmtId="177" fontId="5" fillId="3" borderId="0" xfId="0" applyNumberFormat="1" applyFont="1" applyFill="1" applyAlignment="1">
      <alignment horizontal="center" vertical="center" wrapText="1"/>
    </xf>
    <xf numFmtId="176" fontId="6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right" vertical="center" wrapText="1"/>
    </xf>
    <xf numFmtId="2" fontId="8" fillId="0" borderId="1" xfId="0" applyNumberFormat="1" applyFont="1" applyFill="1" applyBorder="1" applyAlignment="1">
      <alignment horizontal="right" vertical="center"/>
    </xf>
    <xf numFmtId="2" fontId="9" fillId="0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10" fontId="9" fillId="0" borderId="1" xfId="0" applyNumberFormat="1" applyFont="1" applyFill="1" applyBorder="1" applyAlignment="1">
      <alignment horizontal="right" vertical="center"/>
    </xf>
    <xf numFmtId="2" fontId="11" fillId="0" borderId="1" xfId="0" applyNumberFormat="1" applyFont="1" applyFill="1" applyBorder="1" applyAlignment="1">
      <alignment horizontal="right" vertical="center"/>
    </xf>
    <xf numFmtId="2" fontId="12" fillId="0" borderId="1" xfId="0" applyNumberFormat="1" applyFont="1" applyFill="1" applyBorder="1" applyAlignment="1">
      <alignment horizontal="right" vertical="center"/>
    </xf>
    <xf numFmtId="9" fontId="7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2" fontId="14" fillId="3" borderId="1" xfId="0" applyNumberFormat="1" applyFont="1" applyFill="1" applyBorder="1" applyAlignment="1">
      <alignment horizontal="right" vertical="center"/>
    </xf>
    <xf numFmtId="10" fontId="10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25" outlineLevelRow="7"/>
  <cols>
    <col min="1" max="1" width="6.375" style="1" customWidth="1"/>
    <col min="2" max="2" width="30.125" style="2" customWidth="1"/>
    <col min="3" max="3" width="12.25" style="3" customWidth="1"/>
    <col min="4" max="4" width="13.125" style="1" customWidth="1"/>
    <col min="5" max="5" width="12.375" style="1" customWidth="1"/>
    <col min="6" max="7" width="10.25" style="1" customWidth="1"/>
    <col min="8" max="8" width="11.875" style="1" customWidth="1"/>
    <col min="9" max="9" width="10.25" style="1" customWidth="1"/>
    <col min="10" max="10" width="12.25" style="1" customWidth="1"/>
    <col min="11" max="11" width="12.25" style="4" customWidth="1"/>
    <col min="12" max="13" width="9" style="1"/>
    <col min="14" max="14" width="13.75" style="1" customWidth="1"/>
    <col min="15" max="16384" width="9" style="1"/>
  </cols>
  <sheetData>
    <row r="1" ht="39" customHeight="1" spans="1:13">
      <c r="A1" s="5" t="s">
        <v>0</v>
      </c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</row>
    <row r="2" ht="29" customHeight="1" spans="1:14">
      <c r="A2" s="7" t="s">
        <v>1</v>
      </c>
      <c r="B2" s="7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19" t="s">
        <v>14</v>
      </c>
    </row>
    <row r="3" ht="29" customHeight="1" spans="1:14">
      <c r="A3" s="10">
        <v>1</v>
      </c>
      <c r="B3" s="11" t="s">
        <v>15</v>
      </c>
      <c r="C3" s="12">
        <v>45749</v>
      </c>
      <c r="D3" s="13">
        <v>512915</v>
      </c>
      <c r="E3" s="14">
        <f>D3*0%</f>
        <v>0</v>
      </c>
      <c r="F3" s="15">
        <v>400000</v>
      </c>
      <c r="G3" s="15">
        <v>0</v>
      </c>
      <c r="H3" s="15">
        <f>D3-F3</f>
        <v>112915</v>
      </c>
      <c r="I3" s="20">
        <f>H3/D3</f>
        <v>0.220143688525389</v>
      </c>
      <c r="J3" s="21">
        <v>0</v>
      </c>
      <c r="K3" s="22">
        <f>D3-E3</f>
        <v>512915</v>
      </c>
      <c r="L3" s="23">
        <f>1-(D3-E3)/D3</f>
        <v>0</v>
      </c>
      <c r="M3" s="23" t="s">
        <v>16</v>
      </c>
      <c r="N3" s="24"/>
    </row>
    <row r="4" ht="29" customHeight="1" spans="1:14">
      <c r="A4" s="10">
        <v>2</v>
      </c>
      <c r="B4" s="11" t="s">
        <v>17</v>
      </c>
      <c r="C4" s="12">
        <v>45659</v>
      </c>
      <c r="D4" s="13">
        <v>56499.91</v>
      </c>
      <c r="E4" s="14">
        <v>0</v>
      </c>
      <c r="F4" s="15">
        <v>39400</v>
      </c>
      <c r="G4" s="15">
        <v>0</v>
      </c>
      <c r="H4" s="15">
        <f>D4-F4</f>
        <v>17099.91</v>
      </c>
      <c r="I4" s="20">
        <f>H4/D4</f>
        <v>0.302653756439612</v>
      </c>
      <c r="J4" s="21">
        <v>0</v>
      </c>
      <c r="K4" s="22">
        <f>D4-E4</f>
        <v>56499.91</v>
      </c>
      <c r="L4" s="23">
        <f>1-(D4-E4)/D4</f>
        <v>0</v>
      </c>
      <c r="M4" s="23" t="s">
        <v>16</v>
      </c>
      <c r="N4" s="24"/>
    </row>
    <row r="5" ht="29" customHeight="1" spans="1:14">
      <c r="A5" s="10">
        <v>3</v>
      </c>
      <c r="B5" s="11" t="s">
        <v>18</v>
      </c>
      <c r="C5" s="12">
        <v>45667</v>
      </c>
      <c r="D5" s="13">
        <v>23720</v>
      </c>
      <c r="E5" s="14">
        <v>0</v>
      </c>
      <c r="F5" s="15">
        <v>0</v>
      </c>
      <c r="G5" s="15">
        <v>0</v>
      </c>
      <c r="H5" s="15">
        <f>D5-F5</f>
        <v>23720</v>
      </c>
      <c r="I5" s="20">
        <f>H5/D5</f>
        <v>1</v>
      </c>
      <c r="J5" s="21">
        <v>0</v>
      </c>
      <c r="K5" s="22">
        <f>D5-E5</f>
        <v>23720</v>
      </c>
      <c r="L5" s="23">
        <f>1-(D5-E5)/D5</f>
        <v>0</v>
      </c>
      <c r="M5" s="23" t="s">
        <v>16</v>
      </c>
      <c r="N5" s="24"/>
    </row>
    <row r="6" ht="29" customHeight="1" spans="1:14">
      <c r="A6" s="10">
        <v>4</v>
      </c>
      <c r="B6" s="11" t="s">
        <v>19</v>
      </c>
      <c r="C6" s="12">
        <v>45757</v>
      </c>
      <c r="D6" s="13">
        <v>28173</v>
      </c>
      <c r="E6" s="14">
        <v>0</v>
      </c>
      <c r="F6" s="15">
        <v>0</v>
      </c>
      <c r="G6" s="15">
        <v>0</v>
      </c>
      <c r="H6" s="15">
        <f>D6-F6</f>
        <v>28173</v>
      </c>
      <c r="I6" s="20">
        <f>H6/D6</f>
        <v>1</v>
      </c>
      <c r="J6" s="21">
        <v>0</v>
      </c>
      <c r="K6" s="22">
        <f>D6-E6</f>
        <v>28173</v>
      </c>
      <c r="L6" s="23">
        <f>1-(D6-E6)/D6</f>
        <v>0</v>
      </c>
      <c r="M6" s="23" t="s">
        <v>16</v>
      </c>
      <c r="N6" s="24"/>
    </row>
    <row r="7" ht="29" customHeight="1" spans="1:14">
      <c r="A7" s="10">
        <v>5</v>
      </c>
      <c r="B7" s="11" t="s">
        <v>20</v>
      </c>
      <c r="C7" s="12">
        <v>45777</v>
      </c>
      <c r="D7" s="13">
        <v>600000</v>
      </c>
      <c r="E7" s="14">
        <v>0</v>
      </c>
      <c r="F7" s="15">
        <v>330000</v>
      </c>
      <c r="G7" s="15">
        <v>0</v>
      </c>
      <c r="H7" s="15">
        <f>D7-F7</f>
        <v>270000</v>
      </c>
      <c r="I7" s="20">
        <f>H7/D7</f>
        <v>0.45</v>
      </c>
      <c r="J7" s="21">
        <v>0</v>
      </c>
      <c r="K7" s="22">
        <f>D7-E7</f>
        <v>600000</v>
      </c>
      <c r="L7" s="23">
        <f>1-(D7-E7)/D7</f>
        <v>0</v>
      </c>
      <c r="M7" s="23" t="s">
        <v>16</v>
      </c>
      <c r="N7" s="24"/>
    </row>
    <row r="8" ht="29" customHeight="1" spans="1:14">
      <c r="A8" s="16" t="s">
        <v>21</v>
      </c>
      <c r="B8" s="16"/>
      <c r="C8" s="17"/>
      <c r="D8" s="18">
        <f>SUM(D3:D7)</f>
        <v>1221307.91</v>
      </c>
      <c r="E8" s="18">
        <f>SUM(E3:E7)</f>
        <v>0</v>
      </c>
      <c r="F8" s="18"/>
      <c r="G8" s="18"/>
      <c r="H8" s="18">
        <f>SUM(H3:H7)</f>
        <v>451907.91</v>
      </c>
      <c r="I8" s="18"/>
      <c r="J8" s="18">
        <f>SUM(J3:J7)</f>
        <v>0</v>
      </c>
      <c r="K8" s="25">
        <f>SUM(K3:K7)</f>
        <v>1221307.91</v>
      </c>
      <c r="L8" s="26">
        <f>J8/D8</f>
        <v>0</v>
      </c>
      <c r="M8" s="26"/>
      <c r="N8" s="27"/>
    </row>
  </sheetData>
  <autoFilter xmlns:etc="http://www.wps.cn/officeDocument/2017/etCustomData" ref="A1:L8" etc:filterBottomFollowUsedRange="0">
    <extLst/>
  </autoFilter>
  <mergeCells count="1">
    <mergeCell ref="A8:C8"/>
  </mergeCells>
  <pageMargins left="0.75" right="0.75" top="1" bottom="1" header="0.511805555555556" footer="0.511805555555556"/>
  <pageSetup paperSize="9" firstPageNumber="4294967295" orientation="landscape" useFirstPageNumber="1" horizontalDpi="600" vertic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ONLYOFFICE/6.4.2.6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2025合同执行情况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叶林</dc:creator>
  <cp:lastModifiedBy>整死不开腔</cp:lastModifiedBy>
  <cp:revision>2</cp:revision>
  <dcterms:created xsi:type="dcterms:W3CDTF">2006-09-16T00:00:00Z</dcterms:created>
  <dcterms:modified xsi:type="dcterms:W3CDTF">2025-04-28T05:27:59Z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47D5D22F1F8E4367935F96E5E441F58F</vt:lpwstr>
  </property>
</Properties>
</file>